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francois_provost_uni_lu/Documents/Desktop/scripts/g2g/g2g_res/"/>
    </mc:Choice>
  </mc:AlternateContent>
  <xr:revisionPtr revIDLastSave="11" documentId="11_284311271BE54B3740D813E54E22AD8DD5E64D90" xr6:coauthVersionLast="47" xr6:coauthVersionMax="47" xr10:uidLastSave="{6586436F-D150-41E6-91D4-93F2EDAEAECE}"/>
  <bookViews>
    <workbookView xWindow="38280" yWindow="-120" windowWidth="38640" windowHeight="21120" xr2:uid="{00000000-000D-0000-FFFF-FFFF00000000}"/>
  </bookViews>
  <sheets>
    <sheet name="RAW_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K2" i="1"/>
  <c r="K1" i="1"/>
  <c r="I2" i="1"/>
  <c r="I6" i="1"/>
  <c r="I3" i="1"/>
  <c r="I1" i="1"/>
  <c r="I4" i="1" l="1"/>
  <c r="I5" i="1" s="1"/>
</calcChain>
</file>

<file path=xl/sharedStrings.xml><?xml version="1.0" encoding="utf-8"?>
<sst xmlns="http://schemas.openxmlformats.org/spreadsheetml/2006/main" count="14" uniqueCount="14">
  <si>
    <t>LATENCY</t>
  </si>
  <si>
    <t>JITTER</t>
  </si>
  <si>
    <t>MIN</t>
  </si>
  <si>
    <t>MAX</t>
  </si>
  <si>
    <t>AVERAGE</t>
  </si>
  <si>
    <t>STDEV</t>
  </si>
  <si>
    <t>Latency</t>
  </si>
  <si>
    <t>Jitter</t>
  </si>
  <si>
    <t>Q1</t>
  </si>
  <si>
    <t>Q3</t>
  </si>
  <si>
    <t>Med</t>
  </si>
  <si>
    <t>IQR</t>
  </si>
  <si>
    <t>TOP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</si>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</sst>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tabSelected="1" workbookViewId="0">
      <selection activeCell="K5" sqref="K5"/>
    </sheetView>
  </sheetViews>
  <sheetFormatPr defaultRowHeight="15" x14ac:dyDescent="0.25"/>
  <cols>
    <col min="1" max="1" width="12" customWidth="1"/>
    <col min="2" max="2" width="23" customWidth="1"/>
  </cols>
  <sheetData>
    <row r="1" spans="1:11" x14ac:dyDescent="0.25">
      <c r="A1" s="1" t="s">
        <v>0</v>
      </c>
      <c r="B1" s="1" t="s">
        <v>1</v>
      </c>
      <c r="H1" t="s">
        <v>8</v>
      </c>
      <c r="I1">
        <f>_xlfn.QUARTILE.INC(A2:A213, 1)</f>
        <v>117.16535775</v>
      </c>
      <c r="K1">
        <f>MIN(A2:A213)</f>
        <v>93.142184</v>
      </c>
    </row>
    <row r="2" spans="1:11" x14ac:dyDescent="0.25">
      <c r="A2" s="2">
        <v>136.90855999999999</v>
      </c>
      <c r="B2" s="2">
        <v>0</v>
      </c>
      <c r="H2" t="s">
        <v>9</v>
      </c>
      <c r="I2">
        <f>_xlfn.QUARTILE.INC(A2:A213, 3)</f>
        <v>139.70862349999999</v>
      </c>
      <c r="K2">
        <f>MAX(A2:A213)</f>
        <v>218.545095</v>
      </c>
    </row>
    <row r="3" spans="1:11" x14ac:dyDescent="0.25">
      <c r="A3" s="2">
        <v>136.83375000000001</v>
      </c>
      <c r="B3" s="2">
        <v>-7.4809999999985166E-2</v>
      </c>
      <c r="H3" t="s">
        <v>10</v>
      </c>
      <c r="I3">
        <f>MEDIAN(A2:A213)</f>
        <v>127.32433399999999</v>
      </c>
      <c r="K3">
        <f>AVERAGE(A2:A213)</f>
        <v>128.54550946226411</v>
      </c>
    </row>
    <row r="4" spans="1:11" x14ac:dyDescent="0.25">
      <c r="A4" s="2">
        <v>106.913826</v>
      </c>
      <c r="B4" s="2">
        <v>-29.919924000000009</v>
      </c>
      <c r="H4" t="s">
        <v>11</v>
      </c>
      <c r="I4">
        <f>I2-I1</f>
        <v>22.543265749999989</v>
      </c>
      <c r="K4">
        <f>_xlfn.STDEV.P(A2:A213)</f>
        <v>17.243705527327506</v>
      </c>
    </row>
    <row r="5" spans="1:11" x14ac:dyDescent="0.25">
      <c r="A5" s="2">
        <v>106.90058500000001</v>
      </c>
      <c r="B5" s="2">
        <v>-1.3240999999993621E-2</v>
      </c>
      <c r="H5" t="s">
        <v>12</v>
      </c>
      <c r="I5">
        <f>I4*1.5+I2</f>
        <v>173.52352212499997</v>
      </c>
    </row>
    <row r="6" spans="1:11" x14ac:dyDescent="0.25">
      <c r="A6" s="2">
        <v>111.55174</v>
      </c>
      <c r="B6" s="2">
        <v>4.6511549999999886</v>
      </c>
      <c r="H6" t="s">
        <v>13</v>
      </c>
      <c r="I6">
        <f>(COUNTIF(A2:A213, "&gt;"  &amp; 400) * 100)/COUNT(A2:A213)</f>
        <v>0</v>
      </c>
    </row>
    <row r="7" spans="1:11" x14ac:dyDescent="0.25">
      <c r="A7" s="2">
        <v>111.42563</v>
      </c>
      <c r="B7" s="2">
        <v>-0.12610999999999711</v>
      </c>
    </row>
    <row r="8" spans="1:11" x14ac:dyDescent="0.25">
      <c r="A8" s="2">
        <v>111.30674</v>
      </c>
      <c r="B8" s="2">
        <v>-0.11888999999999331</v>
      </c>
    </row>
    <row r="9" spans="1:11" x14ac:dyDescent="0.25">
      <c r="A9" s="2">
        <v>115.18978199999999</v>
      </c>
      <c r="B9" s="2">
        <v>3.883041999999989</v>
      </c>
    </row>
    <row r="10" spans="1:11" x14ac:dyDescent="0.25">
      <c r="A10" s="2">
        <v>115.17791099999999</v>
      </c>
      <c r="B10" s="2">
        <v>-1.1870999999999301E-2</v>
      </c>
    </row>
    <row r="11" spans="1:11" x14ac:dyDescent="0.25">
      <c r="A11" s="2">
        <v>119.33124100000001</v>
      </c>
      <c r="B11" s="2">
        <v>4.1533300000000111</v>
      </c>
    </row>
    <row r="12" spans="1:11" x14ac:dyDescent="0.25">
      <c r="A12" s="2">
        <v>119.319704</v>
      </c>
      <c r="B12" s="2">
        <v>-1.1537000000004131E-2</v>
      </c>
    </row>
    <row r="13" spans="1:11" x14ac:dyDescent="0.25">
      <c r="A13" s="2">
        <v>119.310389</v>
      </c>
      <c r="B13" s="2">
        <v>-9.3150000000008504E-3</v>
      </c>
    </row>
    <row r="14" spans="1:11" x14ac:dyDescent="0.25">
      <c r="A14" s="2">
        <v>123.46558899999999</v>
      </c>
      <c r="B14" s="2">
        <v>4.1551999999999936</v>
      </c>
    </row>
    <row r="15" spans="1:11" x14ac:dyDescent="0.25">
      <c r="A15" s="2">
        <v>123.454515</v>
      </c>
      <c r="B15" s="2">
        <v>-1.1073999999993591E-2</v>
      </c>
    </row>
    <row r="16" spans="1:11" x14ac:dyDescent="0.25">
      <c r="A16" s="2">
        <v>127.612993</v>
      </c>
      <c r="B16" s="2">
        <v>4.1584780000000023</v>
      </c>
    </row>
    <row r="17" spans="1:2" x14ac:dyDescent="0.25">
      <c r="A17" s="2">
        <v>127.603066</v>
      </c>
      <c r="B17" s="2">
        <v>-9.9270000000046821E-3</v>
      </c>
    </row>
    <row r="18" spans="1:2" x14ac:dyDescent="0.25">
      <c r="A18" s="2">
        <v>94.285336999999998</v>
      </c>
      <c r="B18" s="2">
        <v>-33.317729</v>
      </c>
    </row>
    <row r="19" spans="1:2" x14ac:dyDescent="0.25">
      <c r="A19" s="2">
        <v>131.74984000000001</v>
      </c>
      <c r="B19" s="2">
        <v>37.464503000000008</v>
      </c>
    </row>
    <row r="20" spans="1:2" x14ac:dyDescent="0.25">
      <c r="A20" s="2">
        <v>165.88978</v>
      </c>
      <c r="B20" s="2">
        <v>34.139940000000003</v>
      </c>
    </row>
    <row r="21" spans="1:2" x14ac:dyDescent="0.25">
      <c r="A21" s="2">
        <v>135.89637400000001</v>
      </c>
      <c r="B21" s="2">
        <v>-29.99340599999999</v>
      </c>
    </row>
    <row r="22" spans="1:2" x14ac:dyDescent="0.25">
      <c r="A22" s="2">
        <v>135.88731799999999</v>
      </c>
      <c r="B22" s="2">
        <v>-9.0560000000152741E-3</v>
      </c>
    </row>
    <row r="23" spans="1:2" x14ac:dyDescent="0.25">
      <c r="A23" s="2">
        <v>135.876485</v>
      </c>
      <c r="B23" s="2">
        <v>-1.083299999999099E-2</v>
      </c>
    </row>
    <row r="24" spans="1:2" x14ac:dyDescent="0.25">
      <c r="A24" s="2">
        <v>140.30332999999999</v>
      </c>
      <c r="B24" s="2">
        <v>4.4268449999999859</v>
      </c>
    </row>
    <row r="25" spans="1:2" x14ac:dyDescent="0.25">
      <c r="A25" s="2">
        <v>140.20850999999999</v>
      </c>
      <c r="B25" s="2">
        <v>-9.4819999999998572E-2</v>
      </c>
    </row>
    <row r="26" spans="1:2" x14ac:dyDescent="0.25">
      <c r="A26" s="2">
        <v>144.174274</v>
      </c>
      <c r="B26" s="2">
        <v>3.9657640000000072</v>
      </c>
    </row>
    <row r="27" spans="1:2" x14ac:dyDescent="0.25">
      <c r="A27" s="2">
        <v>144.164311</v>
      </c>
      <c r="B27" s="2">
        <v>-9.9629999999990559E-3</v>
      </c>
    </row>
    <row r="28" spans="1:2" x14ac:dyDescent="0.25">
      <c r="A28" s="2">
        <v>144.15692200000001</v>
      </c>
      <c r="B28" s="2">
        <v>-7.3889999999892098E-3</v>
      </c>
    </row>
    <row r="29" spans="1:2" x14ac:dyDescent="0.25">
      <c r="A29" s="2">
        <v>148.320437</v>
      </c>
      <c r="B29" s="2">
        <v>4.1635149999999896</v>
      </c>
    </row>
    <row r="30" spans="1:2" x14ac:dyDescent="0.25">
      <c r="A30" s="2">
        <v>114.978466</v>
      </c>
      <c r="B30" s="2">
        <v>-33.341971000000001</v>
      </c>
    </row>
    <row r="31" spans="1:2" x14ac:dyDescent="0.25">
      <c r="A31" s="2">
        <v>119.133796</v>
      </c>
      <c r="B31" s="2">
        <v>4.1553300000000064</v>
      </c>
    </row>
    <row r="32" spans="1:2" x14ac:dyDescent="0.25">
      <c r="A32" s="2">
        <v>119.12307300000001</v>
      </c>
      <c r="B32" s="2">
        <v>-1.0722999999998709E-2</v>
      </c>
    </row>
    <row r="33" spans="1:2" x14ac:dyDescent="0.25">
      <c r="A33" s="2">
        <v>119.11572200000001</v>
      </c>
      <c r="B33" s="2">
        <v>-7.3509999999998854E-3</v>
      </c>
    </row>
    <row r="34" spans="1:2" x14ac:dyDescent="0.25">
      <c r="A34" s="2">
        <v>123.271051</v>
      </c>
      <c r="B34" s="2">
        <v>4.1553289999999947</v>
      </c>
    </row>
    <row r="35" spans="1:2" x14ac:dyDescent="0.25">
      <c r="A35" s="2">
        <v>123.25938499999999</v>
      </c>
      <c r="B35" s="2">
        <v>-1.166600000000528E-2</v>
      </c>
    </row>
    <row r="36" spans="1:2" x14ac:dyDescent="0.25">
      <c r="A36" s="2">
        <v>127.421566</v>
      </c>
      <c r="B36" s="2">
        <v>4.1621810000000039</v>
      </c>
    </row>
    <row r="37" spans="1:2" x14ac:dyDescent="0.25">
      <c r="A37" s="2">
        <v>127.40951</v>
      </c>
      <c r="B37" s="2">
        <v>-1.205600000000118E-2</v>
      </c>
    </row>
    <row r="38" spans="1:2" x14ac:dyDescent="0.25">
      <c r="A38" s="2">
        <v>94.127633000000003</v>
      </c>
      <c r="B38" s="2">
        <v>-33.281876999999987</v>
      </c>
    </row>
    <row r="39" spans="1:2" x14ac:dyDescent="0.25">
      <c r="A39" s="2">
        <v>98.265035999999995</v>
      </c>
      <c r="B39" s="2">
        <v>4.1374029999999919</v>
      </c>
    </row>
    <row r="40" spans="1:2" x14ac:dyDescent="0.25">
      <c r="A40" s="2">
        <v>98.244870000000006</v>
      </c>
      <c r="B40" s="2">
        <v>-2.016599999998903E-2</v>
      </c>
    </row>
    <row r="41" spans="1:2" x14ac:dyDescent="0.25">
      <c r="A41" s="2">
        <v>102.396328</v>
      </c>
      <c r="B41" s="2">
        <v>4.151457999999991</v>
      </c>
    </row>
    <row r="42" spans="1:2" x14ac:dyDescent="0.25">
      <c r="A42" s="2">
        <v>135.69528099999999</v>
      </c>
      <c r="B42" s="2">
        <v>33.298952999999997</v>
      </c>
    </row>
    <row r="43" spans="1:2" x14ac:dyDescent="0.25">
      <c r="A43" s="2">
        <v>135.68559500000001</v>
      </c>
      <c r="B43" s="2">
        <v>-9.685999999987871E-3</v>
      </c>
    </row>
    <row r="44" spans="1:2" x14ac:dyDescent="0.25">
      <c r="A44" s="2">
        <v>139.84605500000001</v>
      </c>
      <c r="B44" s="2">
        <v>4.1604599999999996</v>
      </c>
    </row>
    <row r="45" spans="1:2" x14ac:dyDescent="0.25">
      <c r="A45" s="2">
        <v>139.83588800000001</v>
      </c>
      <c r="B45" s="2">
        <v>-1.01669999999956E-2</v>
      </c>
    </row>
    <row r="46" spans="1:2" x14ac:dyDescent="0.25">
      <c r="A46" s="2">
        <v>143.992885</v>
      </c>
      <c r="B46" s="2">
        <v>4.1569969999999898</v>
      </c>
    </row>
    <row r="47" spans="1:2" x14ac:dyDescent="0.25">
      <c r="A47" s="2">
        <v>110.656617</v>
      </c>
      <c r="B47" s="2">
        <v>-33.336267999999997</v>
      </c>
    </row>
    <row r="48" spans="1:2" x14ac:dyDescent="0.25">
      <c r="A48" s="2">
        <v>110.643747</v>
      </c>
      <c r="B48" s="2">
        <v>-1.2869999999992389E-2</v>
      </c>
    </row>
    <row r="49" spans="1:2" x14ac:dyDescent="0.25">
      <c r="A49" s="2">
        <v>114.805224</v>
      </c>
      <c r="B49" s="2">
        <v>4.1614769999999908</v>
      </c>
    </row>
    <row r="50" spans="1:2" x14ac:dyDescent="0.25">
      <c r="A50" s="2">
        <v>114.798224</v>
      </c>
      <c r="B50" s="2">
        <v>-6.9999999999907914E-3</v>
      </c>
    </row>
    <row r="51" spans="1:2" x14ac:dyDescent="0.25">
      <c r="A51" s="2">
        <v>152.275284</v>
      </c>
      <c r="B51" s="2">
        <v>37.477059999999987</v>
      </c>
    </row>
    <row r="52" spans="1:2" x14ac:dyDescent="0.25">
      <c r="A52" s="2">
        <v>118.945018</v>
      </c>
      <c r="B52" s="2">
        <v>-33.330265999999988</v>
      </c>
    </row>
    <row r="53" spans="1:2" x14ac:dyDescent="0.25">
      <c r="A53" s="2">
        <v>118.93601700000001</v>
      </c>
      <c r="B53" s="2">
        <v>-9.0009999999978163E-3</v>
      </c>
    </row>
    <row r="54" spans="1:2" x14ac:dyDescent="0.25">
      <c r="A54" s="2">
        <v>123.92440000000001</v>
      </c>
      <c r="B54" s="2">
        <v>4.9883829999999989</v>
      </c>
    </row>
    <row r="55" spans="1:2" x14ac:dyDescent="0.25">
      <c r="A55" s="2">
        <v>123.81921</v>
      </c>
      <c r="B55" s="2">
        <v>-0.1051900000000074</v>
      </c>
    </row>
    <row r="56" spans="1:2" x14ac:dyDescent="0.25">
      <c r="A56" s="2">
        <v>127.239158</v>
      </c>
      <c r="B56" s="2">
        <v>3.4199480000000051</v>
      </c>
    </row>
    <row r="57" spans="1:2" x14ac:dyDescent="0.25">
      <c r="A57" s="2">
        <v>127.228714</v>
      </c>
      <c r="B57" s="2">
        <v>-1.0444000000006779E-2</v>
      </c>
    </row>
    <row r="58" spans="1:2" x14ac:dyDescent="0.25">
      <c r="A58" s="2">
        <v>127.22145399999999</v>
      </c>
      <c r="B58" s="2">
        <v>-7.2600000000022646E-3</v>
      </c>
    </row>
    <row r="59" spans="1:2" x14ac:dyDescent="0.25">
      <c r="A59" s="2">
        <v>131.37757999999999</v>
      </c>
      <c r="B59" s="2">
        <v>4.1561260000000004</v>
      </c>
    </row>
    <row r="60" spans="1:2" x14ac:dyDescent="0.25">
      <c r="A60" s="2">
        <v>131.36839499999999</v>
      </c>
      <c r="B60" s="2">
        <v>-9.1850000000022192E-3</v>
      </c>
    </row>
    <row r="61" spans="1:2" x14ac:dyDescent="0.25">
      <c r="A61" s="2">
        <v>135.52892800000001</v>
      </c>
      <c r="B61" s="2">
        <v>4.1605330000000151</v>
      </c>
    </row>
    <row r="62" spans="1:2" x14ac:dyDescent="0.25">
      <c r="A62" s="2">
        <v>135.52107699999999</v>
      </c>
      <c r="B62" s="2">
        <v>-7.8510000000164837E-3</v>
      </c>
    </row>
    <row r="63" spans="1:2" x14ac:dyDescent="0.25">
      <c r="A63" s="2">
        <v>135.51129800000001</v>
      </c>
      <c r="B63" s="2">
        <v>-9.7789999999804422E-3</v>
      </c>
    </row>
    <row r="64" spans="1:2" x14ac:dyDescent="0.25">
      <c r="A64" s="2">
        <v>139.666202</v>
      </c>
      <c r="B64" s="2">
        <v>4.1549039999999877</v>
      </c>
    </row>
    <row r="65" spans="1:2" x14ac:dyDescent="0.25">
      <c r="A65" s="2">
        <v>139.65883199999999</v>
      </c>
      <c r="B65" s="2">
        <v>-7.3700000000087576E-3</v>
      </c>
    </row>
    <row r="66" spans="1:2" x14ac:dyDescent="0.25">
      <c r="A66" s="2">
        <v>143.81512499999999</v>
      </c>
      <c r="B66" s="2">
        <v>4.1562930000000051</v>
      </c>
    </row>
    <row r="67" spans="1:2" x14ac:dyDescent="0.25">
      <c r="A67" s="2">
        <v>143.80721700000001</v>
      </c>
      <c r="B67" s="2">
        <v>-7.9079999999862594E-3</v>
      </c>
    </row>
    <row r="68" spans="1:2" x14ac:dyDescent="0.25">
      <c r="A68" s="2">
        <v>143.799476</v>
      </c>
      <c r="B68" s="2">
        <v>-7.7410000000099899E-3</v>
      </c>
    </row>
    <row r="69" spans="1:2" x14ac:dyDescent="0.25">
      <c r="A69" s="2">
        <v>147.95860200000001</v>
      </c>
      <c r="B69" s="2">
        <v>4.1591260000000148</v>
      </c>
    </row>
    <row r="70" spans="1:2" x14ac:dyDescent="0.25">
      <c r="A70" s="2">
        <v>114.63102000000001</v>
      </c>
      <c r="B70" s="2">
        <v>-33.327582000000007</v>
      </c>
    </row>
    <row r="71" spans="1:2" x14ac:dyDescent="0.25">
      <c r="A71" s="2">
        <v>152.113876</v>
      </c>
      <c r="B71" s="2">
        <v>37.482855999999998</v>
      </c>
    </row>
    <row r="72" spans="1:2" x14ac:dyDescent="0.25">
      <c r="A72" s="2">
        <v>118.776962</v>
      </c>
      <c r="B72" s="2">
        <v>-33.336914000000007</v>
      </c>
    </row>
    <row r="73" spans="1:2" x14ac:dyDescent="0.25">
      <c r="A73" s="2">
        <v>118.766869</v>
      </c>
      <c r="B73" s="2">
        <v>-1.0092999999997691E-2</v>
      </c>
    </row>
    <row r="74" spans="1:2" x14ac:dyDescent="0.25">
      <c r="A74" s="2">
        <v>122.92406800000001</v>
      </c>
      <c r="B74" s="2">
        <v>4.1571990000000056</v>
      </c>
    </row>
    <row r="75" spans="1:2" x14ac:dyDescent="0.25">
      <c r="A75" s="2">
        <v>122.914513</v>
      </c>
      <c r="B75" s="2">
        <v>-9.5550000000059754E-3</v>
      </c>
    </row>
    <row r="76" spans="1:2" x14ac:dyDescent="0.25">
      <c r="A76" s="2">
        <v>127.70546</v>
      </c>
      <c r="B76" s="2">
        <v>4.7909470000000027</v>
      </c>
    </row>
    <row r="77" spans="1:2" x14ac:dyDescent="0.25">
      <c r="A77" s="2">
        <v>127.61639</v>
      </c>
      <c r="B77" s="2">
        <v>-8.9070000000006644E-2</v>
      </c>
    </row>
    <row r="78" spans="1:2" x14ac:dyDescent="0.25">
      <c r="A78" s="2">
        <v>127.5338</v>
      </c>
      <c r="B78" s="2">
        <v>-8.2589999999996166E-2</v>
      </c>
    </row>
    <row r="79" spans="1:2" x14ac:dyDescent="0.25">
      <c r="A79" s="2">
        <v>131.212042</v>
      </c>
      <c r="B79" s="2">
        <v>3.6782419999999969</v>
      </c>
    </row>
    <row r="80" spans="1:2" x14ac:dyDescent="0.25">
      <c r="A80" s="2">
        <v>131.203228</v>
      </c>
      <c r="B80" s="2">
        <v>-8.8140000000009877E-3</v>
      </c>
    </row>
    <row r="81" spans="1:2" x14ac:dyDescent="0.25">
      <c r="A81" s="2">
        <v>135.36615</v>
      </c>
      <c r="B81" s="2">
        <v>4.1629220000000089</v>
      </c>
    </row>
    <row r="82" spans="1:2" x14ac:dyDescent="0.25">
      <c r="A82" s="2">
        <v>118.691664</v>
      </c>
      <c r="B82" s="2">
        <v>-16.674486000000002</v>
      </c>
    </row>
    <row r="83" spans="1:2" x14ac:dyDescent="0.25">
      <c r="A83" s="2">
        <v>135.349502</v>
      </c>
      <c r="B83" s="2">
        <v>16.657838000000002</v>
      </c>
    </row>
    <row r="84" spans="1:2" x14ac:dyDescent="0.25">
      <c r="A84" s="2">
        <v>122.84177200000001</v>
      </c>
      <c r="B84" s="2">
        <v>-12.50773</v>
      </c>
    </row>
    <row r="85" spans="1:2" x14ac:dyDescent="0.25">
      <c r="A85" s="2">
        <v>122.83229</v>
      </c>
      <c r="B85" s="2">
        <v>-9.4820000000055416E-3</v>
      </c>
    </row>
    <row r="86" spans="1:2" x14ac:dyDescent="0.25">
      <c r="A86" s="2">
        <v>126.992509</v>
      </c>
      <c r="B86" s="2">
        <v>4.1602189999999979</v>
      </c>
    </row>
    <row r="87" spans="1:2" x14ac:dyDescent="0.25">
      <c r="A87" s="2">
        <v>126.983954</v>
      </c>
      <c r="B87" s="2">
        <v>-8.5550000000012005E-3</v>
      </c>
    </row>
    <row r="88" spans="1:2" x14ac:dyDescent="0.25">
      <c r="A88" s="2">
        <v>126.976175</v>
      </c>
      <c r="B88" s="2">
        <v>-7.7789999999993142E-3</v>
      </c>
    </row>
    <row r="89" spans="1:2" x14ac:dyDescent="0.25">
      <c r="A89" s="2">
        <v>131.131246</v>
      </c>
      <c r="B89" s="2">
        <v>4.1550710000000066</v>
      </c>
    </row>
    <row r="90" spans="1:2" x14ac:dyDescent="0.25">
      <c r="A90" s="2">
        <v>131.124394</v>
      </c>
      <c r="B90" s="2">
        <v>-6.8520000000091841E-3</v>
      </c>
    </row>
    <row r="91" spans="1:2" x14ac:dyDescent="0.25">
      <c r="A91" s="2">
        <v>135.28200100000001</v>
      </c>
      <c r="B91" s="2">
        <v>4.1576070000000129</v>
      </c>
    </row>
    <row r="92" spans="1:2" x14ac:dyDescent="0.25">
      <c r="A92" s="2">
        <v>135.275779</v>
      </c>
      <c r="B92" s="2">
        <v>-6.2220000000081646E-3</v>
      </c>
    </row>
    <row r="93" spans="1:2" x14ac:dyDescent="0.25">
      <c r="A93" s="2">
        <v>101.950216</v>
      </c>
      <c r="B93" s="2">
        <v>-33.325563000000002</v>
      </c>
    </row>
    <row r="94" spans="1:2" x14ac:dyDescent="0.25">
      <c r="A94" s="2">
        <v>106.108971</v>
      </c>
      <c r="B94" s="2">
        <v>4.1587549999999993</v>
      </c>
    </row>
    <row r="95" spans="1:2" x14ac:dyDescent="0.25">
      <c r="A95" s="2">
        <v>106.97434</v>
      </c>
      <c r="B95" s="2">
        <v>0.86536900000000117</v>
      </c>
    </row>
    <row r="96" spans="1:2" x14ac:dyDescent="0.25">
      <c r="A96" s="2">
        <v>110.25528199999999</v>
      </c>
      <c r="B96" s="2">
        <v>3.280941999999996</v>
      </c>
    </row>
    <row r="97" spans="1:2" x14ac:dyDescent="0.25">
      <c r="A97" s="2">
        <v>110.246801</v>
      </c>
      <c r="B97" s="2">
        <v>-8.4809999999890806E-3</v>
      </c>
    </row>
    <row r="98" spans="1:2" x14ac:dyDescent="0.25">
      <c r="A98" s="2">
        <v>110.239727</v>
      </c>
      <c r="B98" s="2">
        <v>-7.0740000000029113E-3</v>
      </c>
    </row>
    <row r="99" spans="1:2" x14ac:dyDescent="0.25">
      <c r="A99" s="2">
        <v>114.397223</v>
      </c>
      <c r="B99" s="2">
        <v>4.1574959999999948</v>
      </c>
    </row>
    <row r="100" spans="1:2" x14ac:dyDescent="0.25">
      <c r="A100" s="2">
        <v>114.390075</v>
      </c>
      <c r="B100" s="2">
        <v>-7.1480000000008204E-3</v>
      </c>
    </row>
    <row r="101" spans="1:2" x14ac:dyDescent="0.25">
      <c r="A101" s="2">
        <v>218.545095</v>
      </c>
      <c r="B101" s="2">
        <v>104.15501999999999</v>
      </c>
    </row>
    <row r="102" spans="1:2" x14ac:dyDescent="0.25">
      <c r="A102" s="2">
        <v>168.53715800000001</v>
      </c>
      <c r="B102" s="2">
        <v>-50.007936999999998</v>
      </c>
    </row>
    <row r="103" spans="1:2" x14ac:dyDescent="0.25">
      <c r="A103" s="2">
        <v>151.86539400000001</v>
      </c>
      <c r="B103" s="2">
        <v>-16.671764</v>
      </c>
    </row>
    <row r="104" spans="1:2" x14ac:dyDescent="0.25">
      <c r="A104" s="2">
        <v>156.24428</v>
      </c>
      <c r="B104" s="2">
        <v>4.3788859999999943</v>
      </c>
    </row>
    <row r="105" spans="1:2" x14ac:dyDescent="0.25">
      <c r="A105" s="2">
        <v>122.681346</v>
      </c>
      <c r="B105" s="2">
        <v>-33.562933999999998</v>
      </c>
    </row>
    <row r="106" spans="1:2" x14ac:dyDescent="0.25">
      <c r="A106" s="2">
        <v>126.837046</v>
      </c>
      <c r="B106" s="2">
        <v>4.155699999999996</v>
      </c>
    </row>
    <row r="107" spans="1:2" x14ac:dyDescent="0.25">
      <c r="A107" s="2">
        <v>126.829897</v>
      </c>
      <c r="B107" s="2">
        <v>-7.1489999999982956E-3</v>
      </c>
    </row>
    <row r="108" spans="1:2" x14ac:dyDescent="0.25">
      <c r="A108" s="2">
        <v>126.82808300000001</v>
      </c>
      <c r="B108" s="2">
        <v>-1.8139999999959851E-3</v>
      </c>
    </row>
    <row r="109" spans="1:2" x14ac:dyDescent="0.25">
      <c r="A109" s="2">
        <v>130.980615</v>
      </c>
      <c r="B109" s="2">
        <v>4.1525319999999937</v>
      </c>
    </row>
    <row r="110" spans="1:2" x14ac:dyDescent="0.25">
      <c r="A110" s="2">
        <v>130.973468</v>
      </c>
      <c r="B110" s="2">
        <v>-7.1470000000033451E-3</v>
      </c>
    </row>
    <row r="111" spans="1:2" x14ac:dyDescent="0.25">
      <c r="A111" s="2">
        <v>135.13655600000001</v>
      </c>
      <c r="B111" s="2">
        <v>4.1630880000000161</v>
      </c>
    </row>
    <row r="112" spans="1:2" x14ac:dyDescent="0.25">
      <c r="A112" s="2">
        <v>135.12935300000001</v>
      </c>
      <c r="B112" s="2">
        <v>-7.2030000000040673E-3</v>
      </c>
    </row>
    <row r="113" spans="1:2" x14ac:dyDescent="0.25">
      <c r="A113" s="2">
        <v>135.12362999999999</v>
      </c>
      <c r="B113" s="2">
        <v>-5.7230000000174641E-3</v>
      </c>
    </row>
    <row r="114" spans="1:2" x14ac:dyDescent="0.25">
      <c r="A114" s="2">
        <v>139.285923</v>
      </c>
      <c r="B114" s="2">
        <v>4.1622930000000053</v>
      </c>
    </row>
    <row r="115" spans="1:2" x14ac:dyDescent="0.25">
      <c r="A115" s="2">
        <v>139.278719</v>
      </c>
      <c r="B115" s="2">
        <v>-7.2040000000015434E-3</v>
      </c>
    </row>
    <row r="116" spans="1:2" x14ac:dyDescent="0.25">
      <c r="A116" s="2">
        <v>143.43579</v>
      </c>
      <c r="B116" s="2">
        <v>4.157071000000002</v>
      </c>
    </row>
    <row r="117" spans="1:2" x14ac:dyDescent="0.25">
      <c r="A117" s="2">
        <v>143.428586</v>
      </c>
      <c r="B117" s="2">
        <v>-7.2040000000015434E-3</v>
      </c>
    </row>
    <row r="118" spans="1:2" x14ac:dyDescent="0.25">
      <c r="A118" s="2">
        <v>143.42262299999999</v>
      </c>
      <c r="B118" s="2">
        <v>-5.9630000000083783E-3</v>
      </c>
    </row>
    <row r="119" spans="1:2" x14ac:dyDescent="0.25">
      <c r="A119" s="2">
        <v>114.24970399999999</v>
      </c>
      <c r="B119" s="2">
        <v>-29.17291899999999</v>
      </c>
    </row>
    <row r="120" spans="1:2" x14ac:dyDescent="0.25">
      <c r="A120" s="2">
        <v>114.243853</v>
      </c>
      <c r="B120" s="2">
        <v>-5.8509999999927231E-3</v>
      </c>
    </row>
    <row r="121" spans="1:2" x14ac:dyDescent="0.25">
      <c r="A121" s="2">
        <v>118.402441</v>
      </c>
      <c r="B121" s="2">
        <v>4.1585879999999946</v>
      </c>
    </row>
    <row r="122" spans="1:2" x14ac:dyDescent="0.25">
      <c r="A122" s="2">
        <v>118.395053</v>
      </c>
      <c r="B122" s="2">
        <v>-7.3879999999917354E-3</v>
      </c>
    </row>
    <row r="123" spans="1:2" x14ac:dyDescent="0.25">
      <c r="A123" s="2">
        <v>118.387626</v>
      </c>
      <c r="B123" s="2">
        <v>-7.4270000000069558E-3</v>
      </c>
    </row>
    <row r="124" spans="1:2" x14ac:dyDescent="0.25">
      <c r="A124" s="2">
        <v>122.550622</v>
      </c>
      <c r="B124" s="2">
        <v>4.1629960000000068</v>
      </c>
    </row>
    <row r="125" spans="1:2" x14ac:dyDescent="0.25">
      <c r="A125" s="2">
        <v>122.54019700000001</v>
      </c>
      <c r="B125" s="2">
        <v>-1.042499999999791E-2</v>
      </c>
    </row>
    <row r="126" spans="1:2" x14ac:dyDescent="0.25">
      <c r="A126" s="2">
        <v>126.706582</v>
      </c>
      <c r="B126" s="2">
        <v>4.1663849999999911</v>
      </c>
    </row>
    <row r="127" spans="1:2" x14ac:dyDescent="0.25">
      <c r="A127" s="2">
        <v>126.69517399999999</v>
      </c>
      <c r="B127" s="2">
        <v>-1.140800000000297E-2</v>
      </c>
    </row>
    <row r="128" spans="1:2" x14ac:dyDescent="0.25">
      <c r="A128" s="2">
        <v>126.691545</v>
      </c>
      <c r="B128" s="2">
        <v>-3.6289999999894458E-3</v>
      </c>
    </row>
    <row r="129" spans="1:2" x14ac:dyDescent="0.25">
      <c r="A129" s="2">
        <v>130.84750399999999</v>
      </c>
      <c r="B129" s="2">
        <v>4.1559589999999824</v>
      </c>
    </row>
    <row r="130" spans="1:2" x14ac:dyDescent="0.25">
      <c r="A130" s="2">
        <v>130.83867100000001</v>
      </c>
      <c r="B130" s="2">
        <v>-8.832999999981439E-3</v>
      </c>
    </row>
    <row r="131" spans="1:2" x14ac:dyDescent="0.25">
      <c r="A131" s="2">
        <v>134.99644499999999</v>
      </c>
      <c r="B131" s="2">
        <v>4.1577739999999892</v>
      </c>
    </row>
    <row r="132" spans="1:2" x14ac:dyDescent="0.25">
      <c r="A132" s="2">
        <v>134.992445</v>
      </c>
      <c r="B132" s="2">
        <v>-3.9999999999906777E-3</v>
      </c>
    </row>
    <row r="133" spans="1:2" x14ac:dyDescent="0.25">
      <c r="A133" s="2">
        <v>101.668159</v>
      </c>
      <c r="B133" s="2">
        <v>-33.324286000000001</v>
      </c>
    </row>
    <row r="134" spans="1:2" x14ac:dyDescent="0.25">
      <c r="A134" s="2">
        <v>105.82697</v>
      </c>
      <c r="B134" s="2">
        <v>4.158811</v>
      </c>
    </row>
    <row r="135" spans="1:2" x14ac:dyDescent="0.25">
      <c r="A135" s="2">
        <v>105.81697</v>
      </c>
      <c r="B135" s="2">
        <v>-1.0000000000005119E-2</v>
      </c>
    </row>
    <row r="136" spans="1:2" x14ac:dyDescent="0.25">
      <c r="A136" s="2">
        <v>109.98255899999999</v>
      </c>
      <c r="B136" s="2">
        <v>4.1655889999999971</v>
      </c>
    </row>
    <row r="137" spans="1:2" x14ac:dyDescent="0.25">
      <c r="A137" s="2">
        <v>109.969281</v>
      </c>
      <c r="B137" s="2">
        <v>-1.3277999999999681E-2</v>
      </c>
    </row>
    <row r="138" spans="1:2" x14ac:dyDescent="0.25">
      <c r="A138" s="2">
        <v>109.959948</v>
      </c>
      <c r="B138" s="2">
        <v>-9.3329999999980373E-3</v>
      </c>
    </row>
    <row r="139" spans="1:2" x14ac:dyDescent="0.25">
      <c r="A139" s="2">
        <v>114.121056</v>
      </c>
      <c r="B139" s="2">
        <v>4.1611079999999987</v>
      </c>
    </row>
    <row r="140" spans="1:2" x14ac:dyDescent="0.25">
      <c r="A140" s="2">
        <v>114.11327799999999</v>
      </c>
      <c r="B140" s="2">
        <v>-7.778000000001839E-3</v>
      </c>
    </row>
    <row r="141" spans="1:2" x14ac:dyDescent="0.25">
      <c r="A141" s="2">
        <v>118.270996</v>
      </c>
      <c r="B141" s="2">
        <v>4.1577180000000027</v>
      </c>
    </row>
    <row r="142" spans="1:2" x14ac:dyDescent="0.25">
      <c r="A142" s="2">
        <v>118.26775499999999</v>
      </c>
      <c r="B142" s="2">
        <v>-3.2410000000027139E-3</v>
      </c>
    </row>
    <row r="143" spans="1:2" x14ac:dyDescent="0.25">
      <c r="A143" s="2">
        <v>151.58222599999999</v>
      </c>
      <c r="B143" s="2">
        <v>33.314470999999998</v>
      </c>
    </row>
    <row r="144" spans="1:2" x14ac:dyDescent="0.25">
      <c r="A144" s="2">
        <v>155.74313000000001</v>
      </c>
      <c r="B144" s="2">
        <v>4.1609040000000164</v>
      </c>
    </row>
    <row r="145" spans="1:2" x14ac:dyDescent="0.25">
      <c r="A145" s="2">
        <v>122.41064</v>
      </c>
      <c r="B145" s="2">
        <v>-33.332490000000007</v>
      </c>
    </row>
    <row r="146" spans="1:2" x14ac:dyDescent="0.25">
      <c r="A146" s="2">
        <v>159.90196</v>
      </c>
      <c r="B146" s="2">
        <v>37.491320000000002</v>
      </c>
    </row>
    <row r="147" spans="1:2" x14ac:dyDescent="0.25">
      <c r="A147" s="2">
        <v>159.892664</v>
      </c>
      <c r="B147" s="2">
        <v>-9.2960000000061882E-3</v>
      </c>
    </row>
    <row r="148" spans="1:2" x14ac:dyDescent="0.25">
      <c r="A148" s="2">
        <v>159.882867</v>
      </c>
      <c r="B148" s="2">
        <v>-9.79699999999184E-3</v>
      </c>
    </row>
    <row r="149" spans="1:2" x14ac:dyDescent="0.25">
      <c r="A149" s="2">
        <v>164.49252000000001</v>
      </c>
      <c r="B149" s="2">
        <v>4.6096530000000087</v>
      </c>
    </row>
    <row r="150" spans="1:2" x14ac:dyDescent="0.25">
      <c r="A150" s="2">
        <v>130.708763</v>
      </c>
      <c r="B150" s="2">
        <v>-33.783757000000008</v>
      </c>
    </row>
    <row r="151" spans="1:2" x14ac:dyDescent="0.25">
      <c r="A151" s="2">
        <v>134.86820299999999</v>
      </c>
      <c r="B151" s="2">
        <v>4.1594399999999894</v>
      </c>
    </row>
    <row r="152" spans="1:2" x14ac:dyDescent="0.25">
      <c r="A152" s="2">
        <v>134.86135200000001</v>
      </c>
      <c r="B152" s="2">
        <v>-6.8509999999832871E-3</v>
      </c>
    </row>
    <row r="153" spans="1:2" x14ac:dyDescent="0.25">
      <c r="A153" s="2">
        <v>134.85466700000001</v>
      </c>
      <c r="B153" s="2">
        <v>-6.6850000000044929E-3</v>
      </c>
    </row>
    <row r="154" spans="1:2" x14ac:dyDescent="0.25">
      <c r="A154" s="2">
        <v>139.15589</v>
      </c>
      <c r="B154" s="2">
        <v>4.3012229999999931</v>
      </c>
    </row>
    <row r="155" spans="1:2" x14ac:dyDescent="0.25">
      <c r="A155" s="2">
        <v>139.92740000000001</v>
      </c>
      <c r="B155" s="2">
        <v>0.77151000000000636</v>
      </c>
    </row>
    <row r="156" spans="1:2" x14ac:dyDescent="0.25">
      <c r="A156" s="2">
        <v>143.16912300000001</v>
      </c>
      <c r="B156" s="2">
        <v>3.241723000000007</v>
      </c>
    </row>
    <row r="157" spans="1:2" x14ac:dyDescent="0.25">
      <c r="A157" s="2">
        <v>143.16171499999999</v>
      </c>
      <c r="B157" s="2">
        <v>-7.4080000000265036E-3</v>
      </c>
    </row>
    <row r="158" spans="1:2" x14ac:dyDescent="0.25">
      <c r="A158" s="2">
        <v>143.15778800000001</v>
      </c>
      <c r="B158" s="2">
        <v>-3.926999999976033E-3</v>
      </c>
    </row>
    <row r="159" spans="1:2" x14ac:dyDescent="0.25">
      <c r="A159" s="2">
        <v>147.31439700000001</v>
      </c>
      <c r="B159" s="2">
        <v>4.1566090000000031</v>
      </c>
    </row>
    <row r="160" spans="1:2" x14ac:dyDescent="0.25">
      <c r="A160" s="2">
        <v>147.311396</v>
      </c>
      <c r="B160" s="2">
        <v>-3.0010000000117998E-3</v>
      </c>
    </row>
    <row r="161" spans="1:2" x14ac:dyDescent="0.25">
      <c r="A161" s="2">
        <v>118.14953199999999</v>
      </c>
      <c r="B161" s="2">
        <v>-29.161864000000008</v>
      </c>
    </row>
    <row r="162" spans="1:2" x14ac:dyDescent="0.25">
      <c r="A162" s="2">
        <v>118.140311</v>
      </c>
      <c r="B162" s="2">
        <v>-9.220999999996593E-3</v>
      </c>
    </row>
    <row r="163" spans="1:2" x14ac:dyDescent="0.25">
      <c r="A163" s="2">
        <v>134.787351</v>
      </c>
      <c r="B163" s="2">
        <v>16.647040000000001</v>
      </c>
    </row>
    <row r="164" spans="1:2" x14ac:dyDescent="0.25">
      <c r="A164" s="2">
        <v>155.61548099999999</v>
      </c>
      <c r="B164" s="2">
        <v>20.828129999999991</v>
      </c>
    </row>
    <row r="165" spans="1:2" x14ac:dyDescent="0.25">
      <c r="A165" s="2">
        <v>138.94543999999999</v>
      </c>
      <c r="B165" s="2">
        <v>-16.670041000000001</v>
      </c>
    </row>
    <row r="166" spans="1:2" x14ac:dyDescent="0.25">
      <c r="A166" s="2">
        <v>143.10656700000001</v>
      </c>
      <c r="B166" s="2">
        <v>4.1611270000000218</v>
      </c>
    </row>
    <row r="167" spans="1:2" x14ac:dyDescent="0.25">
      <c r="A167" s="2">
        <v>143.10160400000001</v>
      </c>
      <c r="B167" s="2">
        <v>-4.9630000000036034E-3</v>
      </c>
    </row>
    <row r="168" spans="1:2" x14ac:dyDescent="0.25">
      <c r="A168" s="2">
        <v>143.96047999999999</v>
      </c>
      <c r="B168" s="2">
        <v>0.85887599999998088</v>
      </c>
    </row>
    <row r="169" spans="1:2" x14ac:dyDescent="0.25">
      <c r="A169" s="2">
        <v>113.921351</v>
      </c>
      <c r="B169" s="2">
        <v>-30.039128999999988</v>
      </c>
    </row>
    <row r="170" spans="1:2" x14ac:dyDescent="0.25">
      <c r="A170" s="2">
        <v>147.248526</v>
      </c>
      <c r="B170" s="2">
        <v>33.327174999999997</v>
      </c>
    </row>
    <row r="171" spans="1:2" x14ac:dyDescent="0.25">
      <c r="A171" s="2">
        <v>151.40826300000001</v>
      </c>
      <c r="B171" s="2">
        <v>4.1597370000000069</v>
      </c>
    </row>
    <row r="172" spans="1:2" x14ac:dyDescent="0.25">
      <c r="A172" s="2">
        <v>151.402929</v>
      </c>
      <c r="B172" s="2">
        <v>-5.3340000000048349E-3</v>
      </c>
    </row>
    <row r="173" spans="1:2" x14ac:dyDescent="0.25">
      <c r="A173" s="2">
        <v>118.6044</v>
      </c>
      <c r="B173" s="2">
        <v>-32.798529000000002</v>
      </c>
    </row>
    <row r="174" spans="1:2" x14ac:dyDescent="0.25">
      <c r="A174" s="2">
        <v>122.22145500000001</v>
      </c>
      <c r="B174" s="2">
        <v>3.6170550000000081</v>
      </c>
    </row>
    <row r="175" spans="1:2" x14ac:dyDescent="0.25">
      <c r="A175" s="2">
        <v>122.21352899999999</v>
      </c>
      <c r="B175" s="2">
        <v>-7.926000000011868E-3</v>
      </c>
    </row>
    <row r="176" spans="1:2" x14ac:dyDescent="0.25">
      <c r="A176" s="2">
        <v>126.37867300000001</v>
      </c>
      <c r="B176" s="2">
        <v>4.1651440000000122</v>
      </c>
    </row>
    <row r="177" spans="1:2" x14ac:dyDescent="0.25">
      <c r="A177" s="2">
        <v>126.372174</v>
      </c>
      <c r="B177" s="2">
        <v>-6.4990000000051404E-3</v>
      </c>
    </row>
    <row r="178" spans="1:2" x14ac:dyDescent="0.25">
      <c r="A178" s="2">
        <v>126.366469</v>
      </c>
      <c r="B178" s="2">
        <v>-5.7050000000060663E-3</v>
      </c>
    </row>
    <row r="179" spans="1:2" x14ac:dyDescent="0.25">
      <c r="A179" s="2">
        <v>130.52946600000001</v>
      </c>
      <c r="B179" s="2">
        <v>4.1629970000000176</v>
      </c>
    </row>
    <row r="180" spans="1:2" x14ac:dyDescent="0.25">
      <c r="A180" s="2">
        <v>130.52165199999999</v>
      </c>
      <c r="B180" s="2">
        <v>-7.8140000000246346E-3</v>
      </c>
    </row>
    <row r="181" spans="1:2" x14ac:dyDescent="0.25">
      <c r="A181" s="2">
        <v>134.676703</v>
      </c>
      <c r="B181" s="2">
        <v>4.1550510000000136</v>
      </c>
    </row>
    <row r="182" spans="1:2" x14ac:dyDescent="0.25">
      <c r="A182" s="2">
        <v>101.351788</v>
      </c>
      <c r="B182" s="2">
        <v>-33.324914999999997</v>
      </c>
    </row>
    <row r="183" spans="1:2" x14ac:dyDescent="0.25">
      <c r="A183" s="2">
        <v>101.342288</v>
      </c>
      <c r="B183" s="2">
        <v>-9.5000000000027285E-3</v>
      </c>
    </row>
    <row r="184" spans="1:2" x14ac:dyDescent="0.25">
      <c r="A184" s="2">
        <v>138.82756900000001</v>
      </c>
      <c r="B184" s="2">
        <v>37.485281000000008</v>
      </c>
    </row>
    <row r="185" spans="1:2" x14ac:dyDescent="0.25">
      <c r="A185" s="2">
        <v>138.82082800000001</v>
      </c>
      <c r="B185" s="2">
        <v>-6.741000000005215E-3</v>
      </c>
    </row>
    <row r="186" spans="1:2" x14ac:dyDescent="0.25">
      <c r="A186" s="2">
        <v>142.98313999999999</v>
      </c>
      <c r="B186" s="2">
        <v>4.1623119999999858</v>
      </c>
    </row>
    <row r="187" spans="1:2" x14ac:dyDescent="0.25">
      <c r="A187" s="2">
        <v>142.97327000000001</v>
      </c>
      <c r="B187" s="2">
        <v>-9.869999999978063E-3</v>
      </c>
    </row>
    <row r="188" spans="1:2" x14ac:dyDescent="0.25">
      <c r="A188" s="2">
        <v>109.640113</v>
      </c>
      <c r="B188" s="2">
        <v>-33.333157000000007</v>
      </c>
    </row>
    <row r="189" spans="1:2" x14ac:dyDescent="0.25">
      <c r="A189" s="2">
        <v>147.12897000000001</v>
      </c>
      <c r="B189" s="2">
        <v>37.48885700000001</v>
      </c>
    </row>
    <row r="190" spans="1:2" x14ac:dyDescent="0.25">
      <c r="A190" s="2">
        <v>147.12369200000001</v>
      </c>
      <c r="B190" s="2">
        <v>-5.2780000000041127E-3</v>
      </c>
    </row>
    <row r="191" spans="1:2" x14ac:dyDescent="0.25">
      <c r="A191" s="2">
        <v>151.28000299999999</v>
      </c>
      <c r="B191" s="2">
        <v>4.1563109999999881</v>
      </c>
    </row>
    <row r="192" spans="1:2" x14ac:dyDescent="0.25">
      <c r="A192" s="2">
        <v>151.276466</v>
      </c>
      <c r="B192" s="2">
        <v>-3.5369999999943498E-3</v>
      </c>
    </row>
    <row r="193" spans="1:2" x14ac:dyDescent="0.25">
      <c r="A193" s="2">
        <v>151.27381800000001</v>
      </c>
      <c r="B193" s="2">
        <v>-2.647999999993544E-3</v>
      </c>
    </row>
    <row r="194" spans="1:2" x14ac:dyDescent="0.25">
      <c r="A194" s="2">
        <v>155.42775800000001</v>
      </c>
      <c r="B194" s="2">
        <v>4.1539400000000057</v>
      </c>
    </row>
    <row r="195" spans="1:2" x14ac:dyDescent="0.25">
      <c r="A195" s="2">
        <v>155.42344299999999</v>
      </c>
      <c r="B195" s="2">
        <v>-4.3150000000196087E-3</v>
      </c>
    </row>
    <row r="196" spans="1:2" x14ac:dyDescent="0.25">
      <c r="A196" s="2">
        <v>159.58434700000001</v>
      </c>
      <c r="B196" s="2">
        <v>4.1609040000000164</v>
      </c>
    </row>
    <row r="197" spans="1:2" x14ac:dyDescent="0.25">
      <c r="A197" s="2">
        <v>159.57816199999999</v>
      </c>
      <c r="B197" s="2">
        <v>-6.1850000000163163E-3</v>
      </c>
    </row>
    <row r="198" spans="1:2" x14ac:dyDescent="0.25">
      <c r="A198" s="2">
        <v>93.142184</v>
      </c>
      <c r="B198" s="2">
        <v>-66.435977999999992</v>
      </c>
    </row>
    <row r="199" spans="1:2" x14ac:dyDescent="0.25">
      <c r="A199" s="2">
        <v>97.103087000000002</v>
      </c>
      <c r="B199" s="2">
        <v>3.9609030000000018</v>
      </c>
    </row>
    <row r="200" spans="1:2" x14ac:dyDescent="0.25">
      <c r="A200" s="2">
        <v>97.934200000000004</v>
      </c>
      <c r="B200" s="2">
        <v>0.83111300000000199</v>
      </c>
    </row>
    <row r="201" spans="1:2" x14ac:dyDescent="0.25">
      <c r="A201" s="2">
        <v>101.241713</v>
      </c>
      <c r="B201" s="2">
        <v>3.3075130000000001</v>
      </c>
    </row>
    <row r="202" spans="1:2" x14ac:dyDescent="0.25">
      <c r="A202" s="2">
        <v>101.23812</v>
      </c>
      <c r="B202" s="2">
        <v>-3.5930000000092832E-3</v>
      </c>
    </row>
    <row r="203" spans="1:2" x14ac:dyDescent="0.25">
      <c r="A203" s="2">
        <v>101.23128800000001</v>
      </c>
      <c r="B203" s="2">
        <v>-6.8319999999886249E-3</v>
      </c>
    </row>
    <row r="204" spans="1:2" x14ac:dyDescent="0.25">
      <c r="A204" s="2">
        <v>105.383895</v>
      </c>
      <c r="B204" s="2">
        <v>4.1526069999999891</v>
      </c>
    </row>
    <row r="205" spans="1:2" x14ac:dyDescent="0.25">
      <c r="A205" s="2">
        <v>105.37643199999999</v>
      </c>
      <c r="B205" s="2">
        <v>-7.4630000000013297E-3</v>
      </c>
    </row>
    <row r="206" spans="1:2" x14ac:dyDescent="0.25">
      <c r="A206" s="2">
        <v>109.54035399999999</v>
      </c>
      <c r="B206" s="2">
        <v>4.1639219999999986</v>
      </c>
    </row>
    <row r="207" spans="1:2" x14ac:dyDescent="0.25">
      <c r="A207" s="2">
        <v>109.532743</v>
      </c>
      <c r="B207" s="2">
        <v>-7.6109999999971478E-3</v>
      </c>
    </row>
    <row r="208" spans="1:2" x14ac:dyDescent="0.25">
      <c r="A208" s="2">
        <v>109.52641</v>
      </c>
      <c r="B208" s="2">
        <v>-6.3329999999979236E-3</v>
      </c>
    </row>
    <row r="209" spans="1:2" x14ac:dyDescent="0.25">
      <c r="A209" s="2">
        <v>113.68562799999999</v>
      </c>
      <c r="B209" s="2">
        <v>4.1592179999999956</v>
      </c>
    </row>
    <row r="210" spans="1:2" x14ac:dyDescent="0.25">
      <c r="A210" s="2">
        <v>113.679647</v>
      </c>
      <c r="B210" s="2">
        <v>-5.9809999999913543E-3</v>
      </c>
    </row>
    <row r="211" spans="1:2" x14ac:dyDescent="0.25">
      <c r="A211" s="2">
        <v>117.839365</v>
      </c>
      <c r="B211" s="2">
        <v>4.159717999999998</v>
      </c>
    </row>
    <row r="212" spans="1:2" x14ac:dyDescent="0.25">
      <c r="A212" s="2">
        <v>117.830772</v>
      </c>
      <c r="B212" s="2">
        <v>-8.5930000000047357E-3</v>
      </c>
    </row>
    <row r="213" spans="1:2" x14ac:dyDescent="0.25">
      <c r="A213" s="2">
        <v>117.823883</v>
      </c>
      <c r="B213" s="2">
        <v>-6.8890000000010332E-3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5" x14ac:dyDescent="0.25"/>
  <cols>
    <col min="1" max="1" width="9" customWidth="1"/>
    <col min="2" max="2" width="20" customWidth="1"/>
    <col min="3" max="3" width="12" customWidth="1"/>
    <col min="4" max="4" width="22" customWidth="1"/>
    <col min="5" max="5" width="19" customWidth="1"/>
  </cols>
  <sheetData>
    <row r="1" spans="1:5" x14ac:dyDescent="0.25">
      <c r="A1" s="1"/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6</v>
      </c>
      <c r="B2" s="2">
        <v>93.142184</v>
      </c>
      <c r="C2" s="2">
        <v>218.545095</v>
      </c>
      <c r="D2" s="2">
        <v>128.54550946226411</v>
      </c>
      <c r="E2" s="2">
        <v>17.243705527327101</v>
      </c>
    </row>
    <row r="3" spans="1:5" x14ac:dyDescent="0.25">
      <c r="A3" s="2" t="s">
        <v>7</v>
      </c>
      <c r="B3" s="2">
        <v>-66.435977999999992</v>
      </c>
      <c r="C3" s="2">
        <v>104.15501999999999</v>
      </c>
      <c r="D3" s="2">
        <v>-9.044870616113744E-2</v>
      </c>
      <c r="E3" s="2">
        <v>16.135581632980681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PROVOST</cp:lastModifiedBy>
  <dcterms:created xsi:type="dcterms:W3CDTF">2026-04-02T13:17:45Z</dcterms:created>
  <dcterms:modified xsi:type="dcterms:W3CDTF">2026-04-02T13:58:28Z</dcterms:modified>
</cp:coreProperties>
</file>